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lo\Documents\EXCEL\"/>
    </mc:Choice>
  </mc:AlternateContent>
  <xr:revisionPtr revIDLastSave="0" documentId="8_{45F065D7-2BB5-4DE7-9901-22D592F84381}" xr6:coauthVersionLast="47" xr6:coauthVersionMax="47" xr10:uidLastSave="{00000000-0000-0000-0000-000000000000}"/>
  <bookViews>
    <workbookView xWindow="-120" yWindow="-120" windowWidth="29040" windowHeight="15840" activeTab="4" xr2:uid="{30B642B5-FA73-4E90-8562-0C26D601435A}"/>
  </bookViews>
  <sheets>
    <sheet name="VALIDATE_DATA" sheetId="1" r:id="rId1"/>
    <sheet name="SPLIT_CONCAT" sheetId="2" r:id="rId2"/>
    <sheet name="VLOOKUP" sheetId="3" r:id="rId3"/>
    <sheet name="FORMAT_TABLE" sheetId="4" r:id="rId4"/>
    <sheet name="THROW_DUPLICAT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5" l="1" a="1"/>
  <c r="G15" i="5" s="1"/>
  <c r="E15" i="5" a="1"/>
  <c r="E15" i="5" s="1"/>
  <c r="B23" i="4"/>
  <c r="E23" i="4"/>
  <c r="D23" i="4"/>
  <c r="C23" i="4"/>
  <c r="F20" i="4"/>
  <c r="F21" i="4"/>
  <c r="F22" i="4"/>
  <c r="E15" i="4"/>
  <c r="F15" i="4" s="1"/>
  <c r="E16" i="4"/>
  <c r="F16" i="4" s="1"/>
  <c r="E17" i="4"/>
  <c r="F17" i="4" s="1"/>
  <c r="E18" i="4"/>
  <c r="F18" i="4" s="1"/>
  <c r="E19" i="4"/>
  <c r="F19" i="4" s="1"/>
  <c r="E20" i="4"/>
  <c r="E21" i="4"/>
  <c r="E22" i="4"/>
  <c r="F5" i="4"/>
  <c r="F6" i="4"/>
  <c r="F7" i="4"/>
  <c r="F8" i="4"/>
  <c r="F9" i="4"/>
  <c r="F10" i="4"/>
  <c r="F11" i="4"/>
  <c r="F4" i="4"/>
  <c r="E5" i="4"/>
  <c r="E6" i="4"/>
  <c r="E7" i="4"/>
  <c r="E8" i="4"/>
  <c r="E9" i="4"/>
  <c r="E10" i="4"/>
  <c r="E11" i="4"/>
  <c r="E4" i="4"/>
  <c r="E4" i="3"/>
  <c r="D29" i="2"/>
  <c r="D30" i="2"/>
  <c r="D31" i="2"/>
  <c r="D32" i="2"/>
  <c r="D33" i="2"/>
  <c r="E29" i="2"/>
  <c r="E30" i="2"/>
  <c r="E31" i="2"/>
  <c r="E32" i="2"/>
  <c r="E33" i="2"/>
  <c r="E28" i="2"/>
  <c r="D28" i="2"/>
  <c r="D26" i="2"/>
  <c r="F23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<sst xmlns="http://schemas.openxmlformats.org/spreadsheetml/2006/main" count="183" uniqueCount="66">
  <si>
    <t>Listas Validadas</t>
  </si>
  <si>
    <t xml:space="preserve">Name </t>
  </si>
  <si>
    <t>Age</t>
  </si>
  <si>
    <t>Name</t>
  </si>
  <si>
    <t>John Doe</t>
  </si>
  <si>
    <t>Samir Nasradan</t>
  </si>
  <si>
    <t>Polo Fridge</t>
  </si>
  <si>
    <t>Vladirmir Rosti</t>
  </si>
  <si>
    <t>Palmidor Baso</t>
  </si>
  <si>
    <t>Valniro Gasco</t>
  </si>
  <si>
    <t>Pala Kate</t>
  </si>
  <si>
    <t>PASTIZOL PLUMO</t>
  </si>
  <si>
    <t>CONCATE &amp; SEPARATE TEXT</t>
  </si>
  <si>
    <t>Polo Fridge Viñas</t>
  </si>
  <si>
    <t>Vladirmir Rosti Gulag</t>
  </si>
  <si>
    <t>Palmidor Baso Paterian</t>
  </si>
  <si>
    <t>Pala Kate Joli</t>
  </si>
  <si>
    <t>John</t>
  </si>
  <si>
    <t>Samir</t>
  </si>
  <si>
    <t>Polo</t>
  </si>
  <si>
    <t>Vladirmir</t>
  </si>
  <si>
    <t>Palmidor</t>
  </si>
  <si>
    <t>Valniro</t>
  </si>
  <si>
    <t>PASTIZOL</t>
  </si>
  <si>
    <t>Pala</t>
  </si>
  <si>
    <t>Doe</t>
  </si>
  <si>
    <t>Nasradan</t>
  </si>
  <si>
    <t>Viñas</t>
  </si>
  <si>
    <t>Gulag</t>
  </si>
  <si>
    <t>Paterian</t>
  </si>
  <si>
    <t>Gasco</t>
  </si>
  <si>
    <t>PLUMO</t>
  </si>
  <si>
    <t>Joli</t>
  </si>
  <si>
    <t>Fridge</t>
  </si>
  <si>
    <t>Rosti</t>
  </si>
  <si>
    <t>Baso</t>
  </si>
  <si>
    <t>Kate</t>
  </si>
  <si>
    <t>FLASH FILL</t>
  </si>
  <si>
    <t>TEXT_TO_COLUMN</t>
  </si>
  <si>
    <t>CONCATENATE</t>
  </si>
  <si>
    <t>&amp;</t>
  </si>
  <si>
    <t>SEARCH_V</t>
  </si>
  <si>
    <t>NOTE: THE ORIGINAL TABLE NEED TO BE ORDERED BY THE SEARCH VALUE ( FIRST ARG IN THE VLOOKUP FUNCTION), OTHERWISE THE FUNCTION WON'T WORK CORRECTLY</t>
  </si>
  <si>
    <t>SALARY</t>
  </si>
  <si>
    <t>DISCOUNT</t>
  </si>
  <si>
    <t>DISCOUNT_VALUE</t>
  </si>
  <si>
    <t>TOTAL</t>
  </si>
  <si>
    <t>EXAMPLE WITHOUT USING A FORMAT TABLE</t>
  </si>
  <si>
    <t xml:space="preserve">EXAMPLE USING A FORMAT TABLE </t>
  </si>
  <si>
    <t>Total</t>
  </si>
  <si>
    <t>THROW DUPLICATES</t>
  </si>
  <si>
    <t>Town</t>
  </si>
  <si>
    <t>Yellow</t>
  </si>
  <si>
    <t>Palette</t>
  </si>
  <si>
    <t>Birms</t>
  </si>
  <si>
    <t>Gliti</t>
  </si>
  <si>
    <t>Moon</t>
  </si>
  <si>
    <t>Kile</t>
  </si>
  <si>
    <t>Biula</t>
  </si>
  <si>
    <t>Olimora</t>
  </si>
  <si>
    <t>Hamione Vasto</t>
  </si>
  <si>
    <t>THROW DUPLICATES - REMOVE DUPLICATES WINDOW</t>
  </si>
  <si>
    <t>THROW DUPLICATES - UNIQUE FUNCTION</t>
  </si>
  <si>
    <t>NAME</t>
  </si>
  <si>
    <t>AGE</t>
  </si>
  <si>
    <t>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</si>
</sst>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3" fillId="0" borderId="0" xfId="0" applyFont="1"/>
    <xf numFmtId="0" fontId="3" fillId="2" borderId="0" xfId="0" applyFont="1" applyFill="1"/>
    <xf numFmtId="0" fontId="3" fillId="0" borderId="0" xfId="0" applyFont="1" applyAlignment="1">
      <alignment horizontal="center"/>
    </xf>
    <xf numFmtId="0" fontId="4" fillId="3" borderId="0" xfId="0" applyFont="1" applyFill="1"/>
    <xf numFmtId="0" fontId="4" fillId="4" borderId="0" xfId="0" applyFont="1" applyFill="1" applyAlignment="1">
      <alignment horizontal="center"/>
    </xf>
    <xf numFmtId="0" fontId="4" fillId="4" borderId="0" xfId="0" applyFont="1" applyFill="1"/>
    <xf numFmtId="0" fontId="0" fillId="0" borderId="0" xfId="0" applyAlignment="1">
      <alignment horizontal="center"/>
    </xf>
    <xf numFmtId="0" fontId="2" fillId="4" borderId="0" xfId="0" applyFont="1" applyFill="1" applyAlignment="1">
      <alignment horizontal="center"/>
    </xf>
    <xf numFmtId="49" fontId="3" fillId="0" borderId="0" xfId="0" applyNumberFormat="1" applyFont="1"/>
    <xf numFmtId="49" fontId="0" fillId="0" borderId="0" xfId="0" applyNumberFormat="1"/>
    <xf numFmtId="0" fontId="4" fillId="5" borderId="0" xfId="0" applyFont="1" applyFill="1"/>
    <xf numFmtId="0" fontId="2" fillId="4" borderId="0" xfId="0" applyFont="1" applyFill="1"/>
    <xf numFmtId="0" fontId="5" fillId="4" borderId="0" xfId="0" applyFont="1" applyFill="1" applyAlignment="1">
      <alignment horizontal="center"/>
    </xf>
    <xf numFmtId="0" fontId="6" fillId="0" borderId="0" xfId="0" applyFont="1" applyAlignment="1">
      <alignment horizontal="center" wrapText="1"/>
    </xf>
    <xf numFmtId="44" fontId="0" fillId="0" borderId="0" xfId="1" applyFont="1"/>
    <xf numFmtId="9" fontId="0" fillId="0" borderId="0" xfId="2" applyFont="1"/>
    <xf numFmtId="44" fontId="0" fillId="0" borderId="0" xfId="0" applyNumberFormat="1"/>
    <xf numFmtId="9" fontId="0" fillId="0" borderId="0" xfId="0" applyNumberFormat="1"/>
    <xf numFmtId="44" fontId="0" fillId="0" borderId="0" xfId="0" applyNumberFormat="1" applyFont="1"/>
  </cellXfs>
  <cellStyles count="3">
    <cellStyle name="Currency" xfId="1" builtinId="4"/>
    <cellStyle name="Normal" xfId="0" builtinId="0"/>
    <cellStyle name="Percent" xfId="2" builtin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rgb="FF0000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6BD8BB-FB52-4F95-8107-63ED79B2DDD6}" name="EMPLOYEES" displayName="EMPLOYEES" ref="A14:F23" totalsRowCount="1" headerRowDxfId="6">
  <autoFilter ref="A14:F22" xr:uid="{956BD8BB-FB52-4F95-8107-63ED79B2DDD6}"/>
  <tableColumns count="6">
    <tableColumn id="1" xr3:uid="{9BADB354-4809-4C37-A18A-0B46B0D3F4D0}" name="Name " totalsRowLabel="Total" dataDxfId="9" totalsRowDxfId="3"/>
    <tableColumn id="2" xr3:uid="{E6900613-E5AA-4A6D-A163-485C31BA6FEF}" name="Age" totalsRowFunction="min" dataDxfId="8" totalsRowDxfId="0"/>
    <tableColumn id="3" xr3:uid="{8F945925-E4DB-46E7-81D3-52A4B65B54AC}" name="SALARY" totalsRowFunction="max" dataDxfId="7" totalsRowDxfId="2" dataCellStyle="Currency"/>
    <tableColumn id="4" xr3:uid="{22C1337E-2912-481D-AEF2-ABD13B5237A6}" name="DISCOUNT" totalsRowFunction="average" totalsRowDxfId="1" dataCellStyle="Percent"/>
    <tableColumn id="5" xr3:uid="{FE3280A4-45B8-4A13-9062-48A0BFB8DE25}" name="DISCOUNT_VALUE" totalsRowFunction="countNums" dataDxfId="5">
      <calculatedColumnFormula>EMPLOYEES[[#This Row],[SALARY]]*EMPLOYEES[[#This Row],[DISCOUNT]]</calculatedColumnFormula>
    </tableColumn>
    <tableColumn id="6" xr3:uid="{2C1746AB-BCBE-4A3D-8BC3-1C294EE4C35D}" name="TOTAL" totalsRowFunction="sum" dataDxfId="4">
      <calculatedColumnFormula>EMPLOYEES[[#This Row],[SALARY]]-EMPLOYEES[[#This Row],[DISCOUNT_VALUE]]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553C5-4B2B-4791-B5C7-97928F9397DA}">
  <dimension ref="A1:D13"/>
  <sheetViews>
    <sheetView zoomScale="175" zoomScaleNormal="175" workbookViewId="0">
      <selection activeCell="A4" sqref="A4:B12"/>
    </sheetView>
  </sheetViews>
  <sheetFormatPr defaultRowHeight="15"/>
  <cols>
    <col min="1" max="1" width="16.28515625" bestFit="1" customWidth="1"/>
    <col min="4" max="4" width="19.140625" bestFit="1" customWidth="1"/>
  </cols>
  <sheetData>
    <row r="1" spans="1:4">
      <c r="A1" s="5" t="s">
        <v>0</v>
      </c>
      <c r="B1" s="5"/>
      <c r="C1" s="1"/>
      <c r="D1" s="1"/>
    </row>
    <row r="2" spans="1:4">
      <c r="A2" s="1"/>
      <c r="B2" s="1"/>
      <c r="C2" s="1"/>
      <c r="D2" s="1"/>
    </row>
    <row r="3" spans="1:4">
      <c r="A3" s="1"/>
      <c r="B3" s="1"/>
      <c r="C3" s="1"/>
      <c r="D3" s="1"/>
    </row>
    <row r="4" spans="1:4">
      <c r="A4" s="2" t="s">
        <v>1</v>
      </c>
      <c r="B4" s="2" t="s">
        <v>2</v>
      </c>
      <c r="C4" s="1"/>
      <c r="D4" s="4" t="s">
        <v>3</v>
      </c>
    </row>
    <row r="5" spans="1:4">
      <c r="A5" s="1" t="s">
        <v>4</v>
      </c>
      <c r="B5" s="1">
        <v>12</v>
      </c>
      <c r="C5" s="1"/>
      <c r="D5" s="1" t="s">
        <v>11</v>
      </c>
    </row>
    <row r="6" spans="1:4">
      <c r="A6" s="1" t="s">
        <v>5</v>
      </c>
      <c r="B6" s="1">
        <v>14</v>
      </c>
      <c r="C6" s="1"/>
      <c r="D6" s="1"/>
    </row>
    <row r="7" spans="1:4">
      <c r="A7" s="1" t="s">
        <v>6</v>
      </c>
      <c r="B7" s="1">
        <v>16</v>
      </c>
      <c r="C7" s="1"/>
      <c r="D7" s="1"/>
    </row>
    <row r="8" spans="1:4">
      <c r="A8" s="1" t="s">
        <v>7</v>
      </c>
      <c r="B8" s="1">
        <v>18</v>
      </c>
      <c r="C8" s="1"/>
      <c r="D8" s="1"/>
    </row>
    <row r="9" spans="1:4">
      <c r="A9" s="1" t="s">
        <v>8</v>
      </c>
      <c r="B9" s="1">
        <v>20</v>
      </c>
      <c r="C9" s="1"/>
      <c r="D9" s="1"/>
    </row>
    <row r="10" spans="1:4">
      <c r="A10" s="1" t="s">
        <v>9</v>
      </c>
      <c r="B10" s="1">
        <v>22</v>
      </c>
      <c r="C10" s="1"/>
      <c r="D10" s="1"/>
    </row>
    <row r="11" spans="1:4">
      <c r="A11" s="1" t="s">
        <v>11</v>
      </c>
      <c r="B11" s="1">
        <v>24</v>
      </c>
      <c r="C11" s="1"/>
      <c r="D11" s="1"/>
    </row>
    <row r="12" spans="1:4">
      <c r="A12" s="1" t="s">
        <v>10</v>
      </c>
      <c r="B12" s="1">
        <v>26</v>
      </c>
      <c r="C12" s="1"/>
      <c r="D12" s="1"/>
    </row>
    <row r="13" spans="1:4">
      <c r="A13" s="1"/>
      <c r="B13" s="1"/>
      <c r="C13" s="1"/>
      <c r="D13" s="1"/>
    </row>
  </sheetData>
  <mergeCells count="1">
    <mergeCell ref="A1:B1"/>
  </mergeCells>
  <dataValidations count="1">
    <dataValidation type="list" allowBlank="1" showInputMessage="1" showErrorMessage="1" sqref="D5" xr:uid="{2D0F3D0C-AAC1-49CF-A88D-E00903706088}">
      <formula1>$A$5:$A$12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510B4-D789-4CF7-BF4C-94E4ED7579DF}">
  <dimension ref="A1:E33"/>
  <sheetViews>
    <sheetView zoomScale="190" zoomScaleNormal="190" workbookViewId="0">
      <selection activeCell="D27" sqref="D27"/>
    </sheetView>
  </sheetViews>
  <sheetFormatPr defaultRowHeight="15"/>
  <cols>
    <col min="1" max="1" width="31.5703125" bestFit="1" customWidth="1"/>
    <col min="2" max="2" width="20.7109375" bestFit="1" customWidth="1"/>
    <col min="4" max="5" width="21.85546875" bestFit="1" customWidth="1"/>
  </cols>
  <sheetData>
    <row r="1" spans="1:3">
      <c r="A1" s="6" t="s">
        <v>12</v>
      </c>
      <c r="B1" s="1"/>
    </row>
    <row r="4" spans="1:3">
      <c r="A4" s="2" t="s">
        <v>1</v>
      </c>
      <c r="B4" s="8" t="s">
        <v>37</v>
      </c>
      <c r="C4" s="8"/>
    </row>
    <row r="5" spans="1:3">
      <c r="A5" s="1" t="s">
        <v>4</v>
      </c>
      <c r="B5" t="s">
        <v>17</v>
      </c>
      <c r="C5" t="s">
        <v>25</v>
      </c>
    </row>
    <row r="6" spans="1:3">
      <c r="A6" s="1" t="s">
        <v>5</v>
      </c>
      <c r="B6" t="s">
        <v>18</v>
      </c>
      <c r="C6" t="s">
        <v>26</v>
      </c>
    </row>
    <row r="7" spans="1:3">
      <c r="A7" s="1" t="s">
        <v>13</v>
      </c>
      <c r="B7" t="s">
        <v>19</v>
      </c>
      <c r="C7" t="s">
        <v>27</v>
      </c>
    </row>
    <row r="8" spans="1:3">
      <c r="A8" s="1" t="s">
        <v>14</v>
      </c>
      <c r="B8" t="s">
        <v>20</v>
      </c>
      <c r="C8" t="s">
        <v>28</v>
      </c>
    </row>
    <row r="9" spans="1:3">
      <c r="A9" s="1" t="s">
        <v>15</v>
      </c>
      <c r="B9" t="s">
        <v>21</v>
      </c>
      <c r="C9" t="s">
        <v>29</v>
      </c>
    </row>
    <row r="10" spans="1:3">
      <c r="A10" s="1" t="s">
        <v>9</v>
      </c>
      <c r="B10" t="s">
        <v>22</v>
      </c>
      <c r="C10" t="s">
        <v>30</v>
      </c>
    </row>
    <row r="11" spans="1:3">
      <c r="A11" s="1" t="s">
        <v>11</v>
      </c>
      <c r="B11" t="s">
        <v>23</v>
      </c>
      <c r="C11" t="s">
        <v>31</v>
      </c>
    </row>
    <row r="12" spans="1:3">
      <c r="A12" s="1" t="s">
        <v>16</v>
      </c>
      <c r="B12" t="s">
        <v>24</v>
      </c>
      <c r="C12" t="s">
        <v>32</v>
      </c>
    </row>
    <row r="14" spans="1:3">
      <c r="A14" s="2" t="s">
        <v>1</v>
      </c>
      <c r="B14" s="11" t="s">
        <v>38</v>
      </c>
    </row>
    <row r="15" spans="1:3">
      <c r="A15" s="9" t="s">
        <v>17</v>
      </c>
      <c r="B15" s="10" t="s">
        <v>25</v>
      </c>
    </row>
    <row r="16" spans="1:3">
      <c r="A16" s="9" t="s">
        <v>18</v>
      </c>
      <c r="B16" s="10" t="s">
        <v>26</v>
      </c>
    </row>
    <row r="17" spans="1:5">
      <c r="A17" s="9" t="s">
        <v>19</v>
      </c>
      <c r="B17" s="10" t="s">
        <v>33</v>
      </c>
      <c r="C17" s="10" t="s">
        <v>27</v>
      </c>
    </row>
    <row r="18" spans="1:5">
      <c r="A18" s="9" t="s">
        <v>20</v>
      </c>
      <c r="B18" s="10" t="s">
        <v>34</v>
      </c>
      <c r="C18" s="10" t="s">
        <v>28</v>
      </c>
    </row>
    <row r="19" spans="1:5">
      <c r="A19" s="9" t="s">
        <v>21</v>
      </c>
      <c r="B19" s="10" t="s">
        <v>35</v>
      </c>
      <c r="C19" s="10" t="s">
        <v>29</v>
      </c>
    </row>
    <row r="20" spans="1:5">
      <c r="A20" s="9" t="s">
        <v>22</v>
      </c>
      <c r="B20" s="10" t="s">
        <v>30</v>
      </c>
    </row>
    <row r="21" spans="1:5">
      <c r="A21" s="9" t="s">
        <v>23</v>
      </c>
      <c r="B21" s="10" t="s">
        <v>31</v>
      </c>
    </row>
    <row r="22" spans="1:5">
      <c r="A22" s="9" t="s">
        <v>24</v>
      </c>
      <c r="B22" s="10" t="s">
        <v>36</v>
      </c>
      <c r="C22" s="10" t="s">
        <v>32</v>
      </c>
    </row>
    <row r="25" spans="1:5">
      <c r="A25" s="2" t="s">
        <v>1</v>
      </c>
      <c r="B25" s="10"/>
      <c r="D25" s="12" t="s">
        <v>39</v>
      </c>
      <c r="E25" s="12" t="s">
        <v>40</v>
      </c>
    </row>
    <row r="26" spans="1:5">
      <c r="A26" s="9" t="s">
        <v>17</v>
      </c>
      <c r="B26" s="10" t="s">
        <v>25</v>
      </c>
      <c r="D26" t="str">
        <f>CONCATENATE(A26," ",B26)</f>
        <v>John Doe</v>
      </c>
    </row>
    <row r="27" spans="1:5">
      <c r="A27" s="9" t="s">
        <v>18</v>
      </c>
      <c r="B27" s="10" t="s">
        <v>26</v>
      </c>
    </row>
    <row r="28" spans="1:5">
      <c r="A28" s="9" t="s">
        <v>19</v>
      </c>
      <c r="B28" s="10" t="s">
        <v>33</v>
      </c>
      <c r="C28" s="10" t="s">
        <v>27</v>
      </c>
      <c r="D28" t="str">
        <f>CONCATENATE(A28," ",B28," ",C28)</f>
        <v>Polo Fridge Viñas</v>
      </c>
      <c r="E28" t="str">
        <f>A28&amp;" "&amp;B28&amp;" "&amp;C28</f>
        <v>Polo Fridge Viñas</v>
      </c>
    </row>
    <row r="29" spans="1:5">
      <c r="A29" s="9" t="s">
        <v>20</v>
      </c>
      <c r="B29" s="10" t="s">
        <v>34</v>
      </c>
      <c r="C29" s="10" t="s">
        <v>28</v>
      </c>
      <c r="D29" t="str">
        <f t="shared" ref="D29:D33" si="0">CONCATENATE(A29," ",B29," ",C29)</f>
        <v>Vladirmir Rosti Gulag</v>
      </c>
      <c r="E29" t="str">
        <f t="shared" ref="E29:E33" si="1">A29&amp;" "&amp;B29&amp;" "&amp;C29</f>
        <v>Vladirmir Rosti Gulag</v>
      </c>
    </row>
    <row r="30" spans="1:5">
      <c r="A30" s="9" t="s">
        <v>21</v>
      </c>
      <c r="B30" s="10" t="s">
        <v>35</v>
      </c>
      <c r="C30" s="10" t="s">
        <v>29</v>
      </c>
      <c r="D30" t="str">
        <f t="shared" si="0"/>
        <v>Palmidor Baso Paterian</v>
      </c>
      <c r="E30" t="str">
        <f t="shared" si="1"/>
        <v>Palmidor Baso Paterian</v>
      </c>
    </row>
    <row r="31" spans="1:5">
      <c r="A31" s="9" t="s">
        <v>22</v>
      </c>
      <c r="B31" s="10" t="s">
        <v>30</v>
      </c>
      <c r="D31" t="str">
        <f t="shared" si="0"/>
        <v xml:space="preserve">Valniro Gasco </v>
      </c>
      <c r="E31" t="str">
        <f t="shared" si="1"/>
        <v xml:space="preserve">Valniro Gasco </v>
      </c>
    </row>
    <row r="32" spans="1:5">
      <c r="A32" s="9" t="s">
        <v>23</v>
      </c>
      <c r="B32" s="10" t="s">
        <v>31</v>
      </c>
      <c r="D32" t="str">
        <f t="shared" si="0"/>
        <v xml:space="preserve">PASTIZOL PLUMO </v>
      </c>
      <c r="E32" t="str">
        <f t="shared" si="1"/>
        <v xml:space="preserve">PASTIZOL PLUMO </v>
      </c>
    </row>
    <row r="33" spans="1:5">
      <c r="A33" s="9" t="s">
        <v>24</v>
      </c>
      <c r="B33" s="10" t="s">
        <v>36</v>
      </c>
      <c r="C33" s="10" t="s">
        <v>32</v>
      </c>
      <c r="D33" t="str">
        <f t="shared" si="0"/>
        <v>Pala Kate Joli</v>
      </c>
      <c r="E33" t="str">
        <f t="shared" si="1"/>
        <v>Pala Kate Joli</v>
      </c>
    </row>
  </sheetData>
  <mergeCells count="1"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AC77-8CAF-4EA3-8271-EEC140D6DA52}">
  <dimension ref="A1:M11"/>
  <sheetViews>
    <sheetView zoomScale="190" zoomScaleNormal="190" workbookViewId="0">
      <selection activeCell="A3" sqref="A3:B11"/>
    </sheetView>
  </sheetViews>
  <sheetFormatPr defaultRowHeight="15"/>
  <cols>
    <col min="1" max="1" width="14.42578125" bestFit="1" customWidth="1"/>
    <col min="4" max="4" width="14.28515625" bestFit="1" customWidth="1"/>
  </cols>
  <sheetData>
    <row r="1" spans="1:13" ht="39.75" customHeight="1">
      <c r="A1" s="13" t="s">
        <v>41</v>
      </c>
      <c r="B1" s="13"/>
      <c r="D1" s="14" t="s">
        <v>42</v>
      </c>
      <c r="E1" s="14"/>
      <c r="F1" s="14"/>
      <c r="G1" s="14"/>
      <c r="H1" s="14"/>
      <c r="I1" s="14"/>
      <c r="J1" s="14"/>
      <c r="K1" s="14"/>
      <c r="L1" s="14"/>
      <c r="M1" s="14"/>
    </row>
    <row r="3" spans="1:13">
      <c r="A3" s="2" t="s">
        <v>1</v>
      </c>
      <c r="B3" s="2" t="s">
        <v>2</v>
      </c>
      <c r="D3" s="2" t="s">
        <v>1</v>
      </c>
      <c r="E3" s="2" t="s">
        <v>2</v>
      </c>
    </row>
    <row r="4" spans="1:13">
      <c r="A4" s="1" t="s">
        <v>4</v>
      </c>
      <c r="B4" s="1">
        <v>12</v>
      </c>
      <c r="D4" t="s">
        <v>10</v>
      </c>
      <c r="E4">
        <f>VLOOKUP(D4,A4:B11,2)</f>
        <v>26</v>
      </c>
    </row>
    <row r="5" spans="1:13">
      <c r="A5" s="1" t="s">
        <v>10</v>
      </c>
      <c r="B5" s="1">
        <v>26</v>
      </c>
    </row>
    <row r="6" spans="1:13">
      <c r="A6" s="1" t="s">
        <v>8</v>
      </c>
      <c r="B6" s="1">
        <v>20</v>
      </c>
    </row>
    <row r="7" spans="1:13">
      <c r="A7" s="1" t="s">
        <v>11</v>
      </c>
      <c r="B7" s="1">
        <v>24</v>
      </c>
    </row>
    <row r="8" spans="1:13">
      <c r="A8" s="1" t="s">
        <v>6</v>
      </c>
      <c r="B8" s="1">
        <v>16</v>
      </c>
    </row>
    <row r="9" spans="1:13">
      <c r="A9" s="1" t="s">
        <v>5</v>
      </c>
      <c r="B9" s="1">
        <v>14</v>
      </c>
    </row>
    <row r="10" spans="1:13">
      <c r="A10" s="1" t="s">
        <v>9</v>
      </c>
      <c r="B10" s="1">
        <v>22</v>
      </c>
    </row>
    <row r="11" spans="1:13">
      <c r="A11" s="1" t="s">
        <v>7</v>
      </c>
      <c r="B11" s="1">
        <v>18</v>
      </c>
    </row>
  </sheetData>
  <sortState xmlns:xlrd2="http://schemas.microsoft.com/office/spreadsheetml/2017/richdata2" ref="A4:B11">
    <sortCondition ref="A4:A11"/>
  </sortState>
  <mergeCells count="2">
    <mergeCell ref="A1:B1"/>
    <mergeCell ref="D1:M1"/>
  </mergeCells>
  <dataValidations count="1">
    <dataValidation type="list" allowBlank="1" showInputMessage="1" showErrorMessage="1" sqref="D4" xr:uid="{C863FA70-81D0-47F2-9D4D-59DE2690ABD0}">
      <formula1>$A$4:$A$11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454A6-18AC-4F13-A0AE-A4CBA84A0E22}">
  <dimension ref="A2:F23"/>
  <sheetViews>
    <sheetView zoomScale="160" zoomScaleNormal="160" workbookViewId="0">
      <selection activeCell="A3" sqref="A3:B3"/>
    </sheetView>
  </sheetViews>
  <sheetFormatPr defaultRowHeight="15"/>
  <cols>
    <col min="3" max="3" width="10.7109375" bestFit="1" customWidth="1"/>
    <col min="4" max="4" width="12.7109375" customWidth="1"/>
    <col min="5" max="5" width="20.85546875" customWidth="1"/>
    <col min="6" max="6" width="12.42578125" customWidth="1"/>
  </cols>
  <sheetData>
    <row r="2" spans="1:6">
      <c r="A2" s="7" t="s">
        <v>47</v>
      </c>
      <c r="B2" s="7"/>
      <c r="C2" s="7"/>
      <c r="D2" s="7"/>
    </row>
    <row r="3" spans="1:6">
      <c r="A3" s="2" t="s">
        <v>1</v>
      </c>
      <c r="B3" s="2" t="s">
        <v>2</v>
      </c>
      <c r="C3" s="2" t="s">
        <v>43</v>
      </c>
      <c r="D3" s="2" t="s">
        <v>44</v>
      </c>
      <c r="E3" s="2" t="s">
        <v>45</v>
      </c>
      <c r="F3" s="2" t="s">
        <v>46</v>
      </c>
    </row>
    <row r="4" spans="1:6">
      <c r="A4" s="1" t="s">
        <v>4</v>
      </c>
      <c r="B4" s="1">
        <v>12</v>
      </c>
      <c r="C4" s="15">
        <v>1001</v>
      </c>
      <c r="D4" s="16">
        <v>0.1</v>
      </c>
      <c r="E4" s="17">
        <f>C4*D4</f>
        <v>100.10000000000001</v>
      </c>
      <c r="F4" s="17">
        <f>C4-E4</f>
        <v>900.9</v>
      </c>
    </row>
    <row r="5" spans="1:6">
      <c r="A5" s="1" t="s">
        <v>10</v>
      </c>
      <c r="B5" s="1">
        <v>26</v>
      </c>
      <c r="C5" s="15">
        <v>1002</v>
      </c>
      <c r="D5" s="16">
        <v>0.1</v>
      </c>
      <c r="E5" s="17">
        <f t="shared" ref="E5:E11" si="0">C5*D5</f>
        <v>100.2</v>
      </c>
      <c r="F5" s="17">
        <f t="shared" ref="F5:F11" si="1">C5-E5</f>
        <v>901.8</v>
      </c>
    </row>
    <row r="6" spans="1:6">
      <c r="A6" s="1" t="s">
        <v>8</v>
      </c>
      <c r="B6" s="1">
        <v>20</v>
      </c>
      <c r="C6" s="15">
        <v>1003</v>
      </c>
      <c r="D6" s="16">
        <v>0.1</v>
      </c>
      <c r="E6" s="17">
        <f t="shared" si="0"/>
        <v>100.30000000000001</v>
      </c>
      <c r="F6" s="17">
        <f t="shared" si="1"/>
        <v>902.7</v>
      </c>
    </row>
    <row r="7" spans="1:6">
      <c r="A7" s="1" t="s">
        <v>11</v>
      </c>
      <c r="B7" s="1">
        <v>24</v>
      </c>
      <c r="C7" s="15">
        <v>1004</v>
      </c>
      <c r="D7" s="16">
        <v>0.1</v>
      </c>
      <c r="E7" s="17">
        <f t="shared" si="0"/>
        <v>100.4</v>
      </c>
      <c r="F7" s="17">
        <f t="shared" si="1"/>
        <v>903.6</v>
      </c>
    </row>
    <row r="8" spans="1:6">
      <c r="A8" s="1" t="s">
        <v>6</v>
      </c>
      <c r="B8" s="1">
        <v>16</v>
      </c>
      <c r="C8" s="15">
        <v>1005</v>
      </c>
      <c r="D8" s="16">
        <v>0.1</v>
      </c>
      <c r="E8" s="17">
        <f t="shared" si="0"/>
        <v>100.5</v>
      </c>
      <c r="F8" s="17">
        <f t="shared" si="1"/>
        <v>904.5</v>
      </c>
    </row>
    <row r="9" spans="1:6">
      <c r="A9" s="1" t="s">
        <v>5</v>
      </c>
      <c r="B9" s="1">
        <v>14</v>
      </c>
      <c r="C9" s="15">
        <v>1006</v>
      </c>
      <c r="D9" s="16">
        <v>0.1</v>
      </c>
      <c r="E9" s="17">
        <f t="shared" si="0"/>
        <v>100.60000000000001</v>
      </c>
      <c r="F9" s="17">
        <f t="shared" si="1"/>
        <v>905.4</v>
      </c>
    </row>
    <row r="10" spans="1:6">
      <c r="A10" s="1" t="s">
        <v>9</v>
      </c>
      <c r="B10" s="1">
        <v>22</v>
      </c>
      <c r="C10" s="15">
        <v>1007</v>
      </c>
      <c r="D10" s="16">
        <v>0.1</v>
      </c>
      <c r="E10" s="17">
        <f t="shared" si="0"/>
        <v>100.7</v>
      </c>
      <c r="F10" s="17">
        <f t="shared" si="1"/>
        <v>906.3</v>
      </c>
    </row>
    <row r="11" spans="1:6">
      <c r="A11" s="1" t="s">
        <v>7</v>
      </c>
      <c r="B11" s="1">
        <v>18</v>
      </c>
      <c r="C11" s="15">
        <v>1008</v>
      </c>
      <c r="D11" s="16">
        <v>0.1</v>
      </c>
      <c r="E11" s="17">
        <f t="shared" si="0"/>
        <v>100.80000000000001</v>
      </c>
      <c r="F11" s="17">
        <f t="shared" si="1"/>
        <v>907.2</v>
      </c>
    </row>
    <row r="13" spans="1:6">
      <c r="A13" s="3" t="s">
        <v>48</v>
      </c>
      <c r="B13" s="3"/>
      <c r="C13" s="3"/>
      <c r="D13" s="3"/>
    </row>
    <row r="14" spans="1:6">
      <c r="A14" s="2" t="s">
        <v>1</v>
      </c>
      <c r="B14" s="2" t="s">
        <v>2</v>
      </c>
      <c r="C14" s="2" t="s">
        <v>43</v>
      </c>
      <c r="D14" s="2" t="s">
        <v>44</v>
      </c>
      <c r="E14" s="2" t="s">
        <v>45</v>
      </c>
      <c r="F14" s="2" t="s">
        <v>46</v>
      </c>
    </row>
    <row r="15" spans="1:6">
      <c r="A15" s="1" t="s">
        <v>4</v>
      </c>
      <c r="B15" s="1">
        <v>12</v>
      </c>
      <c r="C15" s="15">
        <v>1001</v>
      </c>
      <c r="D15" s="16">
        <v>0.1</v>
      </c>
      <c r="E15" s="17">
        <f>EMPLOYEES[[#This Row],[SALARY]]*EMPLOYEES[[#This Row],[DISCOUNT]]</f>
        <v>100.10000000000001</v>
      </c>
      <c r="F15" s="17">
        <f>EMPLOYEES[[#This Row],[SALARY]]-EMPLOYEES[[#This Row],[DISCOUNT_VALUE]]</f>
        <v>900.9</v>
      </c>
    </row>
    <row r="16" spans="1:6">
      <c r="A16" s="1" t="s">
        <v>10</v>
      </c>
      <c r="B16" s="1">
        <v>26</v>
      </c>
      <c r="C16" s="15">
        <v>1002</v>
      </c>
      <c r="D16" s="16">
        <v>0.1</v>
      </c>
      <c r="E16" s="17">
        <f>EMPLOYEES[[#This Row],[SALARY]]*EMPLOYEES[[#This Row],[DISCOUNT]]</f>
        <v>100.2</v>
      </c>
      <c r="F16" s="17">
        <f>EMPLOYEES[[#This Row],[SALARY]]-EMPLOYEES[[#This Row],[DISCOUNT_VALUE]]</f>
        <v>901.8</v>
      </c>
    </row>
    <row r="17" spans="1:6">
      <c r="A17" s="1" t="s">
        <v>8</v>
      </c>
      <c r="B17" s="1">
        <v>20</v>
      </c>
      <c r="C17" s="15">
        <v>1003</v>
      </c>
      <c r="D17" s="16">
        <v>0.1</v>
      </c>
      <c r="E17" s="17">
        <f>EMPLOYEES[[#This Row],[SALARY]]*EMPLOYEES[[#This Row],[DISCOUNT]]</f>
        <v>100.30000000000001</v>
      </c>
      <c r="F17" s="17">
        <f>EMPLOYEES[[#This Row],[SALARY]]-EMPLOYEES[[#This Row],[DISCOUNT_VALUE]]</f>
        <v>902.7</v>
      </c>
    </row>
    <row r="18" spans="1:6">
      <c r="A18" s="1" t="s">
        <v>11</v>
      </c>
      <c r="B18" s="1">
        <v>24</v>
      </c>
      <c r="C18" s="15">
        <v>1004</v>
      </c>
      <c r="D18" s="16">
        <v>0.1</v>
      </c>
      <c r="E18" s="17">
        <f>EMPLOYEES[[#This Row],[SALARY]]*EMPLOYEES[[#This Row],[DISCOUNT]]</f>
        <v>100.4</v>
      </c>
      <c r="F18" s="17">
        <f>EMPLOYEES[[#This Row],[SALARY]]-EMPLOYEES[[#This Row],[DISCOUNT_VALUE]]</f>
        <v>903.6</v>
      </c>
    </row>
    <row r="19" spans="1:6">
      <c r="A19" s="1" t="s">
        <v>6</v>
      </c>
      <c r="B19" s="1">
        <v>16</v>
      </c>
      <c r="C19" s="15">
        <v>1005</v>
      </c>
      <c r="D19" s="16">
        <v>0.1</v>
      </c>
      <c r="E19" s="17">
        <f>EMPLOYEES[[#This Row],[SALARY]]*EMPLOYEES[[#This Row],[DISCOUNT]]</f>
        <v>100.5</v>
      </c>
      <c r="F19" s="17">
        <f>EMPLOYEES[[#This Row],[SALARY]]-EMPLOYEES[[#This Row],[DISCOUNT_VALUE]]</f>
        <v>904.5</v>
      </c>
    </row>
    <row r="20" spans="1:6">
      <c r="A20" s="1" t="s">
        <v>5</v>
      </c>
      <c r="B20" s="1">
        <v>14</v>
      </c>
      <c r="C20" s="15">
        <v>1006</v>
      </c>
      <c r="D20" s="16">
        <v>0.1</v>
      </c>
      <c r="E20" s="17">
        <f>EMPLOYEES[[#This Row],[SALARY]]*EMPLOYEES[[#This Row],[DISCOUNT]]</f>
        <v>100.60000000000001</v>
      </c>
      <c r="F20" s="17">
        <f>EMPLOYEES[[#This Row],[SALARY]]-EMPLOYEES[[#This Row],[DISCOUNT_VALUE]]</f>
        <v>905.4</v>
      </c>
    </row>
    <row r="21" spans="1:6">
      <c r="A21" s="1" t="s">
        <v>9</v>
      </c>
      <c r="B21" s="1">
        <v>22</v>
      </c>
      <c r="C21" s="15">
        <v>1007</v>
      </c>
      <c r="D21" s="16">
        <v>0.1</v>
      </c>
      <c r="E21" s="17">
        <f>EMPLOYEES[[#This Row],[SALARY]]*EMPLOYEES[[#This Row],[DISCOUNT]]</f>
        <v>100.7</v>
      </c>
      <c r="F21" s="17">
        <f>EMPLOYEES[[#This Row],[SALARY]]-EMPLOYEES[[#This Row],[DISCOUNT_VALUE]]</f>
        <v>906.3</v>
      </c>
    </row>
    <row r="22" spans="1:6">
      <c r="A22" s="1" t="s">
        <v>7</v>
      </c>
      <c r="B22" s="1">
        <v>18</v>
      </c>
      <c r="C22" s="15">
        <v>1008</v>
      </c>
      <c r="D22" s="16">
        <v>0.1</v>
      </c>
      <c r="E22" s="17">
        <f>EMPLOYEES[[#This Row],[SALARY]]*EMPLOYEES[[#This Row],[DISCOUNT]]</f>
        <v>100.80000000000001</v>
      </c>
      <c r="F22" s="17">
        <f>EMPLOYEES[[#This Row],[SALARY]]-EMPLOYEES[[#This Row],[DISCOUNT_VALUE]]</f>
        <v>907.2</v>
      </c>
    </row>
    <row r="23" spans="1:6">
      <c r="A23" s="1" t="s">
        <v>49</v>
      </c>
      <c r="B23" s="1">
        <f>SUBTOTAL(105,EMPLOYEES[Age])</f>
        <v>12</v>
      </c>
      <c r="C23" s="19">
        <f>SUBTOTAL(104,EMPLOYEES[SALARY])</f>
        <v>1008</v>
      </c>
      <c r="D23" s="18">
        <f>SUBTOTAL(101,EMPLOYEES[DISCOUNT])</f>
        <v>9.9999999999999992E-2</v>
      </c>
      <c r="E23">
        <f>SUBTOTAL(102,EMPLOYEES[DISCOUNT_VALUE])</f>
        <v>8</v>
      </c>
      <c r="F23" s="17">
        <f>SUBTOTAL(109,EMPLOYEES[TOTAL])</f>
        <v>7232.4</v>
      </c>
    </row>
  </sheetData>
  <mergeCells count="2">
    <mergeCell ref="A2:D2"/>
    <mergeCell ref="A13:D13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7968-250F-404A-A728-5AFAA27064DA}">
  <dimension ref="A1:H23"/>
  <sheetViews>
    <sheetView tabSelected="1" zoomScale="190" zoomScaleNormal="190" workbookViewId="0">
      <selection activeCell="E16" sqref="E16"/>
    </sheetView>
  </sheetViews>
  <sheetFormatPr defaultRowHeight="15"/>
  <cols>
    <col min="1" max="1" width="19" bestFit="1" customWidth="1"/>
    <col min="5" max="5" width="19" bestFit="1" customWidth="1"/>
  </cols>
  <sheetData>
    <row r="1" spans="1:8">
      <c r="A1" s="8" t="s">
        <v>50</v>
      </c>
      <c r="B1" s="8"/>
      <c r="E1" s="8" t="s">
        <v>61</v>
      </c>
      <c r="F1" s="8"/>
      <c r="G1" s="8"/>
      <c r="H1" s="8"/>
    </row>
    <row r="2" spans="1:8">
      <c r="A2" s="2" t="s">
        <v>1</v>
      </c>
      <c r="B2" s="2" t="s">
        <v>2</v>
      </c>
      <c r="C2" s="2" t="s">
        <v>51</v>
      </c>
      <c r="E2" s="2" t="s">
        <v>1</v>
      </c>
      <c r="F2" s="2" t="s">
        <v>2</v>
      </c>
      <c r="G2" s="2" t="s">
        <v>51</v>
      </c>
    </row>
    <row r="3" spans="1:8">
      <c r="A3" s="1" t="s">
        <v>4</v>
      </c>
      <c r="B3" s="1">
        <v>12</v>
      </c>
      <c r="C3" t="s">
        <v>59</v>
      </c>
      <c r="E3" s="1" t="s">
        <v>4</v>
      </c>
      <c r="F3" s="1">
        <v>12</v>
      </c>
      <c r="G3" t="s">
        <v>59</v>
      </c>
    </row>
    <row r="4" spans="1:8">
      <c r="A4" s="1" t="s">
        <v>10</v>
      </c>
      <c r="B4" s="1">
        <v>26</v>
      </c>
      <c r="C4" t="s">
        <v>52</v>
      </c>
      <c r="E4" s="1" t="s">
        <v>10</v>
      </c>
      <c r="F4" s="1">
        <v>26</v>
      </c>
      <c r="G4" t="s">
        <v>52</v>
      </c>
    </row>
    <row r="5" spans="1:8">
      <c r="A5" s="1" t="s">
        <v>10</v>
      </c>
      <c r="B5" s="1">
        <v>26</v>
      </c>
      <c r="C5" t="s">
        <v>52</v>
      </c>
      <c r="E5" s="1" t="s">
        <v>8</v>
      </c>
      <c r="F5" s="1">
        <v>20</v>
      </c>
      <c r="G5" t="s">
        <v>53</v>
      </c>
    </row>
    <row r="6" spans="1:8">
      <c r="A6" s="1" t="s">
        <v>8</v>
      </c>
      <c r="B6" s="1">
        <v>20</v>
      </c>
      <c r="C6" t="s">
        <v>53</v>
      </c>
      <c r="E6" s="1" t="s">
        <v>11</v>
      </c>
      <c r="F6" s="1">
        <v>24</v>
      </c>
      <c r="G6" t="s">
        <v>58</v>
      </c>
    </row>
    <row r="7" spans="1:8">
      <c r="A7" s="1" t="s">
        <v>8</v>
      </c>
      <c r="B7" s="1">
        <v>20</v>
      </c>
      <c r="C7" t="s">
        <v>53</v>
      </c>
      <c r="E7" s="1" t="s">
        <v>6</v>
      </c>
      <c r="F7" s="1">
        <v>16</v>
      </c>
      <c r="G7" t="s">
        <v>54</v>
      </c>
    </row>
    <row r="8" spans="1:8">
      <c r="A8" s="1" t="s">
        <v>11</v>
      </c>
      <c r="B8" s="1">
        <v>24</v>
      </c>
      <c r="C8" t="s">
        <v>58</v>
      </c>
      <c r="E8" s="1" t="s">
        <v>5</v>
      </c>
      <c r="F8" s="1">
        <v>14</v>
      </c>
      <c r="G8" t="s">
        <v>55</v>
      </c>
    </row>
    <row r="9" spans="1:8">
      <c r="A9" s="1" t="s">
        <v>6</v>
      </c>
      <c r="B9" s="1">
        <v>16</v>
      </c>
      <c r="C9" t="s">
        <v>54</v>
      </c>
      <c r="E9" s="1" t="s">
        <v>9</v>
      </c>
      <c r="F9" s="1">
        <v>22</v>
      </c>
      <c r="G9" t="s">
        <v>56</v>
      </c>
    </row>
    <row r="10" spans="1:8">
      <c r="A10" s="1" t="s">
        <v>6</v>
      </c>
      <c r="B10" s="1">
        <v>16</v>
      </c>
      <c r="C10" t="s">
        <v>54</v>
      </c>
      <c r="E10" s="1" t="s">
        <v>7</v>
      </c>
      <c r="F10" s="1">
        <v>18</v>
      </c>
      <c r="G10" t="s">
        <v>57</v>
      </c>
    </row>
    <row r="11" spans="1:8">
      <c r="A11" s="1" t="s">
        <v>5</v>
      </c>
      <c r="B11" s="1">
        <v>14</v>
      </c>
      <c r="C11" t="s">
        <v>55</v>
      </c>
    </row>
    <row r="12" spans="1:8">
      <c r="A12" s="1" t="s">
        <v>9</v>
      </c>
      <c r="B12" s="1">
        <v>22</v>
      </c>
      <c r="C12" t="s">
        <v>56</v>
      </c>
    </row>
    <row r="13" spans="1:8">
      <c r="A13" s="1" t="s">
        <v>7</v>
      </c>
      <c r="B13" s="1">
        <v>18</v>
      </c>
      <c r="C13" t="s">
        <v>57</v>
      </c>
      <c r="E13" s="8" t="s">
        <v>62</v>
      </c>
      <c r="F13" s="8"/>
      <c r="G13" s="8"/>
      <c r="H13" s="8"/>
    </row>
    <row r="14" spans="1:8">
      <c r="A14" s="1" t="s">
        <v>60</v>
      </c>
      <c r="B14" s="1">
        <v>44</v>
      </c>
      <c r="C14" t="s">
        <v>57</v>
      </c>
      <c r="E14" s="2" t="s">
        <v>63</v>
      </c>
      <c r="F14" s="2" t="s">
        <v>64</v>
      </c>
      <c r="G14" s="2" t="s">
        <v>65</v>
      </c>
    </row>
    <row r="15" spans="1:8">
      <c r="E15" t="str" cm="1">
        <f t="array" ref="E15:E23">_xlfn.UNIQUE(A3:A14)</f>
        <v>John Doe</v>
      </c>
      <c r="G15" t="str" cm="1">
        <f t="array" ref="G15:G22">_xlfn.UNIQUE(C3:C14)</f>
        <v>Olimora</v>
      </c>
    </row>
    <row r="16" spans="1:8">
      <c r="E16" t="str">
        <v>Pala Kate</v>
      </c>
      <c r="G16" t="str">
        <v>Yellow</v>
      </c>
    </row>
    <row r="17" spans="5:7">
      <c r="E17" t="str">
        <v>Palmidor Baso</v>
      </c>
      <c r="G17" t="str">
        <v>Palette</v>
      </c>
    </row>
    <row r="18" spans="5:7">
      <c r="E18" t="str">
        <v>PASTIZOL PLUMO</v>
      </c>
      <c r="G18" t="str">
        <v>Biula</v>
      </c>
    </row>
    <row r="19" spans="5:7">
      <c r="E19" t="str">
        <v>Polo Fridge</v>
      </c>
      <c r="G19" t="str">
        <v>Birms</v>
      </c>
    </row>
    <row r="20" spans="5:7">
      <c r="E20" t="str">
        <v>Samir Nasradan</v>
      </c>
      <c r="G20" t="str">
        <v>Gliti</v>
      </c>
    </row>
    <row r="21" spans="5:7">
      <c r="E21" t="str">
        <v>Valniro Gasco</v>
      </c>
      <c r="G21" t="str">
        <v>Moon</v>
      </c>
    </row>
    <row r="22" spans="5:7">
      <c r="E22" t="str">
        <v>Vladirmir Rosti</v>
      </c>
      <c r="G22" t="str">
        <v>Kile</v>
      </c>
    </row>
    <row r="23" spans="5:7">
      <c r="E23" t="str">
        <v>Hamione Vasto</v>
      </c>
    </row>
  </sheetData>
  <sortState xmlns:xlrd2="http://schemas.microsoft.com/office/spreadsheetml/2017/richdata2" ref="A3:B13">
    <sortCondition ref="A3:A13"/>
  </sortState>
  <mergeCells count="3">
    <mergeCell ref="A1:B1"/>
    <mergeCell ref="E1:H1"/>
    <mergeCell ref="E13:H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VALIDATE_DATA</vt:lpstr>
      <vt:lpstr>SPLIT_CONCAT</vt:lpstr>
      <vt:lpstr>VLOOKUP</vt:lpstr>
      <vt:lpstr>FORMAT_TABLE</vt:lpstr>
      <vt:lpstr>THROW_DUPLICATES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Polo</dc:creator>
  <cp:lastModifiedBy>Polo</cp:lastModifiedBy>
  <dcterms:created xsi:type="dcterms:W3CDTF">2024-03-06T06:25:53Z</dcterms:created>
  <dcterms:modified xsi:type="dcterms:W3CDTF">2024-03-07T09:05:34Z</dcterms:modified>
</cp:coreProperties>
</file>